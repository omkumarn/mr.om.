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teracyIndia\Documents\"/>
    </mc:Choice>
  </mc:AlternateContent>
  <xr:revisionPtr revIDLastSave="0" documentId="13_ncr:1_{271D57FF-4421-4D76-93C3-8BC1161802D6}" xr6:coauthVersionLast="47" xr6:coauthVersionMax="47" xr10:uidLastSave="{00000000-0000-0000-0000-000000000000}"/>
  <bookViews>
    <workbookView xWindow="-120" yWindow="-120" windowWidth="24240" windowHeight="13020" activeTab="1" xr2:uid="{90D9820B-C23E-4C64-9CA5-87E05B849EF3}"/>
  </bookViews>
  <sheets>
    <sheet name="forcastsheet" sheetId="2" r:id="rId1"/>
    <sheet name="salary sheet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1" l="1"/>
  <c r="E22" i="1"/>
  <c r="E23" i="1"/>
  <c r="E24" i="1"/>
  <c r="E25" i="1"/>
  <c r="E26" i="1"/>
  <c r="E27" i="1"/>
  <c r="E20" i="1"/>
  <c r="C16" i="2"/>
  <c r="C17" i="2"/>
  <c r="C18" i="2"/>
  <c r="C19" i="2"/>
  <c r="E19" i="2"/>
  <c r="D19" i="2"/>
  <c r="D17" i="2"/>
  <c r="E16" i="2"/>
  <c r="E18" i="2"/>
  <c r="D18" i="2"/>
  <c r="E17" i="2"/>
  <c r="D16" i="2"/>
</calcChain>
</file>

<file path=xl/sharedStrings.xml><?xml version="1.0" encoding="utf-8"?>
<sst xmlns="http://schemas.openxmlformats.org/spreadsheetml/2006/main" count="7" uniqueCount="5">
  <si>
    <t>years</t>
  </si>
  <si>
    <t>salary</t>
  </si>
  <si>
    <t>Forecast(salary)</t>
  </si>
  <si>
    <t>Lower Confidence Bound(salary)</t>
  </si>
  <si>
    <t>Upper Confidence Bound(salary)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</si>
</sst>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forcastsheet!$B$1</c:f>
              <c:strCache>
                <c:ptCount val="1"/>
                <c:pt idx="0">
                  <c:v>salary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forcastsheet!$B$2:$B$19</c:f>
              <c:numCache>
                <c:formatCode>General</c:formatCode>
                <c:ptCount val="18"/>
                <c:pt idx="0">
                  <c:v>15000</c:v>
                </c:pt>
                <c:pt idx="1">
                  <c:v>16000</c:v>
                </c:pt>
                <c:pt idx="2">
                  <c:v>17000</c:v>
                </c:pt>
                <c:pt idx="3">
                  <c:v>18000</c:v>
                </c:pt>
                <c:pt idx="4">
                  <c:v>19000</c:v>
                </c:pt>
                <c:pt idx="5">
                  <c:v>20000</c:v>
                </c:pt>
                <c:pt idx="6">
                  <c:v>25000</c:v>
                </c:pt>
                <c:pt idx="7">
                  <c:v>30000</c:v>
                </c:pt>
                <c:pt idx="8">
                  <c:v>35000</c:v>
                </c:pt>
                <c:pt idx="9">
                  <c:v>15000</c:v>
                </c:pt>
                <c:pt idx="10">
                  <c:v>40000</c:v>
                </c:pt>
                <c:pt idx="11">
                  <c:v>45000</c:v>
                </c:pt>
                <c:pt idx="12">
                  <c:v>46000</c:v>
                </c:pt>
                <c:pt idx="13">
                  <c:v>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0A-414A-8A8D-B0D85DC52C89}"/>
            </c:ext>
          </c:extLst>
        </c:ser>
        <c:ser>
          <c:idx val="1"/>
          <c:order val="1"/>
          <c:tx>
            <c:strRef>
              <c:f>forcastsheet!$C$1</c:f>
              <c:strCache>
                <c:ptCount val="1"/>
                <c:pt idx="0">
                  <c:v>Forecast(salary)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forcastsheet!$A$2:$A$19</c:f>
              <c:numCache>
                <c:formatCode>General</c:formatCode>
                <c:ptCount val="18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  <c:pt idx="15">
                  <c:v>2026</c:v>
                </c:pt>
                <c:pt idx="16">
                  <c:v>2027</c:v>
                </c:pt>
                <c:pt idx="17">
                  <c:v>2028</c:v>
                </c:pt>
              </c:numCache>
            </c:numRef>
          </c:cat>
          <c:val>
            <c:numRef>
              <c:f>forcastsheet!$C$2:$C$19</c:f>
              <c:numCache>
                <c:formatCode>General</c:formatCode>
                <c:ptCount val="18"/>
                <c:pt idx="13">
                  <c:v>50000</c:v>
                </c:pt>
                <c:pt idx="14">
                  <c:v>53679.671207403982</c:v>
                </c:pt>
                <c:pt idx="15">
                  <c:v>58747.369784675058</c:v>
                </c:pt>
                <c:pt idx="16">
                  <c:v>63815.068361946142</c:v>
                </c:pt>
                <c:pt idx="17">
                  <c:v>68882.766939217225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0A-414A-8A8D-B0D85DC52C89}"/>
            </c:ext>
          </c:extLst>
        </c:ser>
        <c:ser>
          <c:idx val="2"/>
          <c:order val="2"/>
          <c:tx>
            <c:strRef>
              <c:f>forcastsheet!$D$1</c:f>
              <c:strCache>
                <c:ptCount val="1"/>
                <c:pt idx="0">
                  <c:v>Lower Confidence Bound(salary)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forcastsheet!$A$2:$A$19</c:f>
              <c:numCache>
                <c:formatCode>General</c:formatCode>
                <c:ptCount val="18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  <c:pt idx="15">
                  <c:v>2026</c:v>
                </c:pt>
                <c:pt idx="16">
                  <c:v>2027</c:v>
                </c:pt>
                <c:pt idx="17">
                  <c:v>2028</c:v>
                </c:pt>
              </c:numCache>
            </c:numRef>
          </c:cat>
          <c:val>
            <c:numRef>
              <c:f>forcastsheet!$D$2:$D$19</c:f>
              <c:numCache>
                <c:formatCode>General</c:formatCode>
                <c:ptCount val="18"/>
                <c:pt idx="13" formatCode="0.00">
                  <c:v>50000</c:v>
                </c:pt>
                <c:pt idx="14" formatCode="0.00">
                  <c:v>39274.20922504778</c:v>
                </c:pt>
                <c:pt idx="15" formatCode="0.00">
                  <c:v>42641.573664756383</c:v>
                </c:pt>
                <c:pt idx="16" formatCode="0.00">
                  <c:v>45063.356772874613</c:v>
                </c:pt>
                <c:pt idx="17" formatCode="0.00">
                  <c:v>46617.633244148426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0A-414A-8A8D-B0D85DC52C89}"/>
            </c:ext>
          </c:extLst>
        </c:ser>
        <c:ser>
          <c:idx val="3"/>
          <c:order val="3"/>
          <c:tx>
            <c:strRef>
              <c:f>forcastsheet!$E$1</c:f>
              <c:strCache>
                <c:ptCount val="1"/>
                <c:pt idx="0">
                  <c:v>Upper Confidence Bound(salary)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forcastsheet!$A$2:$A$19</c:f>
              <c:numCache>
                <c:formatCode>General</c:formatCode>
                <c:ptCount val="18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  <c:pt idx="15">
                  <c:v>2026</c:v>
                </c:pt>
                <c:pt idx="16">
                  <c:v>2027</c:v>
                </c:pt>
                <c:pt idx="17">
                  <c:v>2028</c:v>
                </c:pt>
              </c:numCache>
            </c:numRef>
          </c:cat>
          <c:val>
            <c:numRef>
              <c:f>forcastsheet!$E$2:$E$19</c:f>
              <c:numCache>
                <c:formatCode>General</c:formatCode>
                <c:ptCount val="18"/>
                <c:pt idx="13" formatCode="0.00">
                  <c:v>50000</c:v>
                </c:pt>
                <c:pt idx="14" formatCode="0.00">
                  <c:v>68085.133189760192</c:v>
                </c:pt>
                <c:pt idx="15" formatCode="0.00">
                  <c:v>74853.165904593727</c:v>
                </c:pt>
                <c:pt idx="16" formatCode="0.00">
                  <c:v>82566.77995101767</c:v>
                </c:pt>
                <c:pt idx="17" formatCode="0.00">
                  <c:v>91147.900634286023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0A-414A-8A8D-B0D85DC52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6996384"/>
        <c:axId val="1619034784"/>
      </c:lineChart>
      <c:catAx>
        <c:axId val="1856996384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034784"/>
        <c:crosses val="autoZero"/>
        <c:auto val="1"/>
        <c:lblAlgn val="ctr"/>
        <c:lblOffset val="100"/>
        <c:noMultiLvlLbl val="0"/>
      </c:catAx>
      <c:valAx>
        <c:axId val="161903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996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1</xdr:row>
      <xdr:rowOff>157162</xdr:rowOff>
    </xdr:from>
    <xdr:to>
      <xdr:col>4</xdr:col>
      <xdr:colOff>1676400</xdr:colOff>
      <xdr:row>14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6305AB-BD01-7E10-C256-5602C45B4D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59A521-5476-470A-B12C-D5B5A09F8456}" name="Table1" displayName="Table1" ref="A1:E19" totalsRowShown="0">
  <autoFilter ref="A1:E19" xr:uid="{9359A521-5476-470A-B12C-D5B5A09F8456}"/>
  <tableColumns count="5">
    <tableColumn id="1" xr3:uid="{AF1DB801-AB10-4A39-825F-F940E2459124}" name="years"/>
    <tableColumn id="2" xr3:uid="{AB071BAC-55B3-4FCA-B29B-9733E0CC960A}" name="salary"/>
    <tableColumn id="3" xr3:uid="{29999389-0C19-4A11-AD72-E05EF014F789}" name="Forecast(salary)">
      <calculatedColumnFormula>_xlfn.FORECAST.ETS(A2,$B$2:$B$15,$A$2:$A$15,1,1)</calculatedColumnFormula>
    </tableColumn>
    <tableColumn id="4" xr3:uid="{2E2B4340-5D51-4E82-88E7-544342487857}" name="Lower Confidence Bound(salary)" dataDxfId="1">
      <calculatedColumnFormula>C2-_xlfn.FORECAST.ETS.CONFINT(A2,$B$2:$B$15,$A$2:$A$15,0.95,1,1)</calculatedColumnFormula>
    </tableColumn>
    <tableColumn id="5" xr3:uid="{C6C7B4C3-EB8F-4953-88CA-09E0EFA32515}" name="Upper Confidence Bound(salary)" dataDxfId="0">
      <calculatedColumnFormula>C2+_xlfn.FORECAST.ETS.CONFINT(A2,$B$2:$B$15,$A$2:$A$15,0.95,1,1)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976EF-D8F1-4FB3-8F62-B49DFFFDD1E6}">
  <sheetPr codeName="Sheet1"/>
  <dimension ref="A1:E20"/>
  <sheetViews>
    <sheetView workbookViewId="0">
      <selection activeCell="G20" sqref="G20"/>
    </sheetView>
  </sheetViews>
  <sheetFormatPr defaultRowHeight="15" x14ac:dyDescent="0.25"/>
  <cols>
    <col min="3" max="3" width="17.140625" customWidth="1"/>
    <col min="4" max="4" width="31.85546875" customWidth="1"/>
    <col min="5" max="5" width="32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2011</v>
      </c>
      <c r="B2">
        <v>15000</v>
      </c>
    </row>
    <row r="3" spans="1:5" x14ac:dyDescent="0.25">
      <c r="A3">
        <v>2012</v>
      </c>
      <c r="B3">
        <v>16000</v>
      </c>
    </row>
    <row r="4" spans="1:5" x14ac:dyDescent="0.25">
      <c r="A4">
        <v>2013</v>
      </c>
      <c r="B4">
        <v>17000</v>
      </c>
    </row>
    <row r="5" spans="1:5" x14ac:dyDescent="0.25">
      <c r="A5">
        <v>2014</v>
      </c>
      <c r="B5">
        <v>18000</v>
      </c>
    </row>
    <row r="6" spans="1:5" x14ac:dyDescent="0.25">
      <c r="A6">
        <v>2015</v>
      </c>
      <c r="B6">
        <v>19000</v>
      </c>
    </row>
    <row r="7" spans="1:5" x14ac:dyDescent="0.25">
      <c r="A7">
        <v>2016</v>
      </c>
      <c r="B7">
        <v>20000</v>
      </c>
    </row>
    <row r="8" spans="1:5" x14ac:dyDescent="0.25">
      <c r="A8">
        <v>2017</v>
      </c>
      <c r="B8">
        <v>25000</v>
      </c>
    </row>
    <row r="9" spans="1:5" x14ac:dyDescent="0.25">
      <c r="A9">
        <v>2018</v>
      </c>
      <c r="B9">
        <v>30000</v>
      </c>
    </row>
    <row r="10" spans="1:5" x14ac:dyDescent="0.25">
      <c r="A10">
        <v>2019</v>
      </c>
      <c r="B10">
        <v>35000</v>
      </c>
    </row>
    <row r="11" spans="1:5" x14ac:dyDescent="0.25">
      <c r="A11">
        <v>2020</v>
      </c>
      <c r="B11">
        <v>15000</v>
      </c>
    </row>
    <row r="12" spans="1:5" x14ac:dyDescent="0.25">
      <c r="A12">
        <v>2021</v>
      </c>
      <c r="B12">
        <v>40000</v>
      </c>
    </row>
    <row r="13" spans="1:5" x14ac:dyDescent="0.25">
      <c r="A13">
        <v>2022</v>
      </c>
      <c r="B13">
        <v>45000</v>
      </c>
    </row>
    <row r="14" spans="1:5" x14ac:dyDescent="0.25">
      <c r="A14">
        <v>2023</v>
      </c>
      <c r="B14">
        <v>46000</v>
      </c>
    </row>
    <row r="15" spans="1:5" x14ac:dyDescent="0.25">
      <c r="A15">
        <v>2024</v>
      </c>
      <c r="B15">
        <v>50000</v>
      </c>
      <c r="C15">
        <v>50000</v>
      </c>
      <c r="D15" s="1">
        <v>50000</v>
      </c>
      <c r="E15" s="1">
        <v>50000</v>
      </c>
    </row>
    <row r="16" spans="1:5" x14ac:dyDescent="0.25">
      <c r="A16">
        <v>2025</v>
      </c>
      <c r="C16">
        <f>_xlfn.FORECAST.ETS(A16,$B$2:$B$15,$A$2:$A$15,1,1)</f>
        <v>53679.671207403982</v>
      </c>
      <c r="D16" s="1">
        <f>C16-_xlfn.FORECAST.ETS.CONFINT(A16,$B$2:$B$15,$A$2:$A$15,0.95,1,1)</f>
        <v>39274.20922504778</v>
      </c>
      <c r="E16" s="1">
        <f>C16+_xlfn.FORECAST.ETS.CONFINT(A16,$B$2:$B$15,$A$2:$A$15,0.95,1,1)</f>
        <v>68085.133189760192</v>
      </c>
    </row>
    <row r="17" spans="1:5" x14ac:dyDescent="0.25">
      <c r="A17">
        <v>2026</v>
      </c>
      <c r="C17">
        <f>_xlfn.FORECAST.ETS(A17,$B$2:$B$15,$A$2:$A$15,1,1)</f>
        <v>58747.369784675058</v>
      </c>
      <c r="D17" s="1">
        <f>C17-_xlfn.FORECAST.ETS.CONFINT(A17,$B$2:$B$15,$A$2:$A$15,0.95,1,1)</f>
        <v>42641.573664756383</v>
      </c>
      <c r="E17" s="1">
        <f>C17+_xlfn.FORECAST.ETS.CONFINT(A17,$B$2:$B$15,$A$2:$A$15,0.95,1,1)</f>
        <v>74853.165904593727</v>
      </c>
    </row>
    <row r="18" spans="1:5" x14ac:dyDescent="0.25">
      <c r="A18">
        <v>2027</v>
      </c>
      <c r="C18">
        <f>_xlfn.FORECAST.ETS(A18,$B$2:$B$15,$A$2:$A$15,1,1)</f>
        <v>63815.068361946142</v>
      </c>
      <c r="D18" s="1">
        <f>C18-_xlfn.FORECAST.ETS.CONFINT(A18,$B$2:$B$15,$A$2:$A$15,0.95,1,1)</f>
        <v>45063.356772874613</v>
      </c>
      <c r="E18" s="1">
        <f>C18+_xlfn.FORECAST.ETS.CONFINT(A18,$B$2:$B$15,$A$2:$A$15,0.95,1,1)</f>
        <v>82566.77995101767</v>
      </c>
    </row>
    <row r="19" spans="1:5" x14ac:dyDescent="0.25">
      <c r="A19">
        <v>2028</v>
      </c>
      <c r="C19">
        <f>_xlfn.FORECAST.ETS(A19,$B$2:$B$15,$A$2:$A$15,1,1)</f>
        <v>68882.766939217225</v>
      </c>
      <c r="D19" s="1">
        <f>C19-_xlfn.FORECAST.ETS.CONFINT(A19,$B$2:$B$15,$A$2:$A$15,0.95,1,1)</f>
        <v>46617.633244148426</v>
      </c>
      <c r="E19" s="1">
        <f>C19+_xlfn.FORECAST.ETS.CONFINT(A19,$B$2:$B$15,$A$2:$A$15,0.95,1,1)</f>
        <v>91147.900634286023</v>
      </c>
    </row>
    <row r="20" spans="1:5" x14ac:dyDescent="0.25">
      <c r="D20" s="1"/>
      <c r="E20" s="1"/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E6299-64AB-4CB0-85FE-114DD414AD79}">
  <sheetPr codeName="She"/>
  <dimension ref="C5:E28"/>
  <sheetViews>
    <sheetView tabSelected="1" workbookViewId="0">
      <selection activeCell="D19" sqref="D19"/>
    </sheetView>
  </sheetViews>
  <sheetFormatPr defaultRowHeight="15" x14ac:dyDescent="0.25"/>
  <sheetData>
    <row r="5" spans="3:5" x14ac:dyDescent="0.25">
      <c r="C5" s="2" t="s">
        <v>0</v>
      </c>
      <c r="D5" s="2" t="s">
        <v>1</v>
      </c>
      <c r="E5" s="2"/>
    </row>
    <row r="6" spans="3:5" x14ac:dyDescent="0.25">
      <c r="C6" s="2">
        <v>2011</v>
      </c>
      <c r="D6" s="2">
        <v>15000</v>
      </c>
      <c r="E6" s="2"/>
    </row>
    <row r="7" spans="3:5" x14ac:dyDescent="0.25">
      <c r="C7" s="2">
        <v>2012</v>
      </c>
      <c r="D7" s="2">
        <v>16000</v>
      </c>
      <c r="E7" s="2"/>
    </row>
    <row r="8" spans="3:5" x14ac:dyDescent="0.25">
      <c r="C8" s="2">
        <v>2013</v>
      </c>
      <c r="D8" s="2">
        <v>17000</v>
      </c>
      <c r="E8" s="2"/>
    </row>
    <row r="9" spans="3:5" x14ac:dyDescent="0.25">
      <c r="C9" s="2">
        <v>2014</v>
      </c>
      <c r="D9" s="2">
        <v>18000</v>
      </c>
      <c r="E9" s="2"/>
    </row>
    <row r="10" spans="3:5" x14ac:dyDescent="0.25">
      <c r="C10" s="2">
        <v>2015</v>
      </c>
      <c r="D10" s="2">
        <v>19000</v>
      </c>
      <c r="E10" s="2"/>
    </row>
    <row r="11" spans="3:5" x14ac:dyDescent="0.25">
      <c r="C11" s="2">
        <v>2016</v>
      </c>
      <c r="D11" s="2">
        <v>20000</v>
      </c>
      <c r="E11" s="2"/>
    </row>
    <row r="12" spans="3:5" x14ac:dyDescent="0.25">
      <c r="C12" s="2">
        <v>2017</v>
      </c>
      <c r="D12" s="2">
        <v>25000</v>
      </c>
      <c r="E12" s="2"/>
    </row>
    <row r="13" spans="3:5" x14ac:dyDescent="0.25">
      <c r="C13" s="2">
        <v>2018</v>
      </c>
      <c r="D13" s="2">
        <v>30000</v>
      </c>
      <c r="E13" s="2"/>
    </row>
    <row r="14" spans="3:5" x14ac:dyDescent="0.25">
      <c r="C14" s="2">
        <v>2019</v>
      </c>
      <c r="D14" s="2">
        <v>35000</v>
      </c>
      <c r="E14" s="2"/>
    </row>
    <row r="15" spans="3:5" x14ac:dyDescent="0.25">
      <c r="C15" s="2">
        <v>2020</v>
      </c>
      <c r="D15" s="2">
        <v>15000</v>
      </c>
      <c r="E15" s="2"/>
    </row>
    <row r="16" spans="3:5" x14ac:dyDescent="0.25">
      <c r="C16" s="2">
        <v>2021</v>
      </c>
      <c r="D16" s="2">
        <v>40000</v>
      </c>
      <c r="E16" s="2"/>
    </row>
    <row r="17" spans="3:5" x14ac:dyDescent="0.25">
      <c r="C17" s="2">
        <v>2022</v>
      </c>
      <c r="D17" s="2">
        <v>45000</v>
      </c>
      <c r="E17" s="2"/>
    </row>
    <row r="18" spans="3:5" x14ac:dyDescent="0.25">
      <c r="C18" s="2">
        <v>2023</v>
      </c>
      <c r="D18" s="2">
        <v>46000</v>
      </c>
      <c r="E18" s="2"/>
    </row>
    <row r="19" spans="3:5" x14ac:dyDescent="0.25">
      <c r="C19" s="2">
        <v>2024</v>
      </c>
      <c r="D19" s="2">
        <v>50000</v>
      </c>
      <c r="E19" s="2"/>
    </row>
    <row r="20" spans="3:5" x14ac:dyDescent="0.25">
      <c r="C20" s="2">
        <v>2025</v>
      </c>
      <c r="D20" s="2"/>
      <c r="E20" s="2">
        <f>FORECAST(C20,D6:D19,C6:C19)</f>
        <v>48054.945054945536</v>
      </c>
    </row>
    <row r="21" spans="3:5" x14ac:dyDescent="0.25">
      <c r="C21" s="2">
        <v>2026</v>
      </c>
      <c r="D21" s="2"/>
      <c r="E21" s="2">
        <f t="shared" ref="E21:E27" si="0">FORECAST(C21,D7:D20,C7:C20)</f>
        <v>51780.219780219719</v>
      </c>
    </row>
    <row r="22" spans="3:5" x14ac:dyDescent="0.25">
      <c r="C22" s="2">
        <v>2027</v>
      </c>
      <c r="D22" s="2"/>
      <c r="E22" s="2">
        <f t="shared" si="0"/>
        <v>55916.08391608391</v>
      </c>
    </row>
    <row r="23" spans="3:5" x14ac:dyDescent="0.25">
      <c r="C23" s="2">
        <v>2028</v>
      </c>
      <c r="D23" s="2"/>
      <c r="E23" s="2">
        <f t="shared" si="0"/>
        <v>60472.727272727527</v>
      </c>
    </row>
    <row r="24" spans="3:5" x14ac:dyDescent="0.25">
      <c r="C24" s="2">
        <v>2029</v>
      </c>
      <c r="D24" s="2"/>
      <c r="E24" s="2">
        <f t="shared" si="0"/>
        <v>65375.75757575687</v>
      </c>
    </row>
    <row r="25" spans="3:5" x14ac:dyDescent="0.25">
      <c r="C25" s="2">
        <v>2030</v>
      </c>
      <c r="D25" s="2"/>
      <c r="E25" s="2">
        <f t="shared" si="0"/>
        <v>70333.333333333023</v>
      </c>
    </row>
    <row r="26" spans="3:5" x14ac:dyDescent="0.25">
      <c r="C26" s="2">
        <v>2031</v>
      </c>
      <c r="D26" s="2"/>
      <c r="E26" s="2">
        <f t="shared" si="0"/>
        <v>74500</v>
      </c>
    </row>
    <row r="27" spans="3:5" x14ac:dyDescent="0.25">
      <c r="C27" s="2">
        <v>2032</v>
      </c>
      <c r="D27" s="2"/>
      <c r="E27" s="2">
        <f t="shared" si="0"/>
        <v>81285.714285714552</v>
      </c>
    </row>
    <row r="28" spans="3:5" x14ac:dyDescent="0.25">
      <c r="C28" s="2"/>
      <c r="D28" s="2"/>
      <c r="E28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forcastsheet</vt:lpstr>
      <vt:lpstr>salary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sahil khan</dc:creator>
  <cp:lastModifiedBy>sahil khan</cp:lastModifiedBy>
  <dcterms:created xsi:type="dcterms:W3CDTF">2023-11-10T04:47:05Z</dcterms:created>
  <dcterms:modified xsi:type="dcterms:W3CDTF">2023-11-13T05:23:06Z</dcterms:modified>
</cp:coreProperties>
</file>